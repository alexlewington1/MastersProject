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ni\Dissertation\MScProject\"/>
    </mc:Choice>
  </mc:AlternateContent>
  <xr:revisionPtr revIDLastSave="0" documentId="13_ncr:1_{74E3F4F8-F466-4899-AC35-4DA6F5188306}" xr6:coauthVersionLast="47" xr6:coauthVersionMax="47" xr10:uidLastSave="{00000000-0000-0000-0000-000000000000}"/>
  <bookViews>
    <workbookView xWindow="38280" yWindow="2085" windowWidth="29040" windowHeight="16440" firstSheet="1" activeTab="5" xr2:uid="{A71FE66F-C5AB-4BD0-A1DF-C1EC892D38EE}"/>
  </bookViews>
  <sheets>
    <sheet name="Summary" sheetId="11" r:id="rId1"/>
    <sheet name="Kingston Normal Deletion" sheetId="1" r:id="rId2"/>
    <sheet name="Kingston Secure Erase" sheetId="2" r:id="rId3"/>
    <sheet name="Kingston TRIM" sheetId="3" r:id="rId4"/>
    <sheet name="PNY Normal Deletion" sheetId="4" r:id="rId5"/>
    <sheet name="PNY Secure Erase" sheetId="5" r:id="rId6"/>
    <sheet name="PNY TRIM" sheetId="6" r:id="rId7"/>
    <sheet name="Samsung Normal Deletion" sheetId="8" r:id="rId8"/>
    <sheet name="Samsung Secure Erase" sheetId="9" r:id="rId9"/>
    <sheet name="Samsung TRIM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1" l="1"/>
  <c r="E5" i="11"/>
  <c r="D7" i="11"/>
  <c r="D6" i="11"/>
  <c r="D5" i="11"/>
  <c r="E7" i="11"/>
  <c r="F33" i="5"/>
  <c r="C7" i="11"/>
  <c r="C6" i="11"/>
  <c r="C5" i="11"/>
</calcChain>
</file>

<file path=xl/sharedStrings.xml><?xml version="1.0" encoding="utf-8"?>
<sst xmlns="http://schemas.openxmlformats.org/spreadsheetml/2006/main" count="244" uniqueCount="70">
  <si>
    <t>Volume</t>
  </si>
  <si>
    <t>V (%) =</t>
  </si>
  <si>
    <t>(Number of files recovered / Total number of deleted files) * 100</t>
  </si>
  <si>
    <t>(8,739 / 8,739) = 1 * 100 = 100%</t>
  </si>
  <si>
    <t>Volume recovered (%) = 100%</t>
  </si>
  <si>
    <t>File Integrity</t>
  </si>
  <si>
    <t>I (%) =</t>
  </si>
  <si>
    <t>(Files with hashes matching original data set / Total recovered files) * 100</t>
  </si>
  <si>
    <t>File Integrity (%) = 100%</t>
  </si>
  <si>
    <t>Functionality</t>
  </si>
  <si>
    <t xml:space="preserve">F (%) = </t>
  </si>
  <si>
    <t>(Number of files that can still be opened / Total recovered files) * 100</t>
  </si>
  <si>
    <t>Functionality (%) = 100%</t>
  </si>
  <si>
    <t>Scenario Average</t>
  </si>
  <si>
    <t>Scenario Average (%) = (V + I + F) / 3</t>
  </si>
  <si>
    <t>(100 + 100 + 100) = 300 / 3 = 100 %</t>
  </si>
  <si>
    <t>(0 / 8,739) = 0 * 100 = 0%</t>
  </si>
  <si>
    <t>Volume recovered (%) = 0%</t>
  </si>
  <si>
    <t>(0 / 0) = 0 * 100 = 0%</t>
  </si>
  <si>
    <t>File Integrity (%) = 0%</t>
  </si>
  <si>
    <t>Functionality (%) = 0%</t>
  </si>
  <si>
    <t>(0 + 0 + 0) = 0 / 3 = 0 %</t>
  </si>
  <si>
    <t>(10,000 / 8,739) = 1.14 * 100 = 114%</t>
  </si>
  <si>
    <t>Volume recovered (%) = 114%</t>
  </si>
  <si>
    <t>(8,739 / 10,000) = 0.87 * 100 = 87%</t>
  </si>
  <si>
    <t>File Integrity (%) = 87%</t>
  </si>
  <si>
    <t>(4,529 / 10,000) = 0.45 * 100 = 45%</t>
  </si>
  <si>
    <t>Functionality (%) = 45%</t>
  </si>
  <si>
    <t>(114 + 87 + 45) = 246 / 3 = 82 %</t>
  </si>
  <si>
    <t>(988 / 8,739) = 0.11 * 100 = 11%</t>
  </si>
  <si>
    <t>Functionality (%) = 11%</t>
  </si>
  <si>
    <t>(8,738 / 8,739) = 0.9998 * 100 = 99.98%</t>
  </si>
  <si>
    <t>Functionality (%) = 99.98%</t>
  </si>
  <si>
    <t>(100 + 100 + 99.98) = 299.98 / 3 = 99.99 %</t>
  </si>
  <si>
    <t>Kingston</t>
  </si>
  <si>
    <t>PNY</t>
  </si>
  <si>
    <t>Samsung</t>
  </si>
  <si>
    <t>Normal Deletion Scenario Average</t>
  </si>
  <si>
    <t>Secure Erase Scenario Average</t>
  </si>
  <si>
    <t>TRIM Enabled Scenario Average</t>
  </si>
  <si>
    <t>Scenario Average =</t>
  </si>
  <si>
    <t xml:space="preserve">Scenario Average = </t>
  </si>
  <si>
    <t>SSD</t>
  </si>
  <si>
    <t>Individual SSD Scenario Average Scores</t>
  </si>
  <si>
    <t>(984 / 8,739) = 0.11 * 100 = 11%</t>
  </si>
  <si>
    <t>File Integrity (%) = 11%</t>
  </si>
  <si>
    <t>(100 + 11 + 11) = 122 / 3 = 40.67 %</t>
  </si>
  <si>
    <t>Autopsy</t>
  </si>
  <si>
    <t>PhotoRec</t>
  </si>
  <si>
    <t>(1,119 / 8,739) = 0.13 * 100 = 13%</t>
  </si>
  <si>
    <t>Volume recovered (%) = 13%</t>
  </si>
  <si>
    <t>File Integrity (%) = 88%</t>
  </si>
  <si>
    <t>(1,119 / 1,119) = 1 * 100 = 100%</t>
  </si>
  <si>
    <t>(13 + 88 + 100) = 201 / 3 = 67 %</t>
  </si>
  <si>
    <t>(983 / 1,119) = 0.88 * 100 = 88%</t>
  </si>
  <si>
    <t>DiskDrill</t>
  </si>
  <si>
    <t>(9,741 / 8,739) = 1.11 * 100 = 110%</t>
  </si>
  <si>
    <t>Volume recovered (%) = 110%</t>
  </si>
  <si>
    <t>(0 / 9,741) = 0 * 100 = 0%</t>
  </si>
  <si>
    <t>(110 + 0 + 0) = 110 / 3 = 36.67 %</t>
  </si>
  <si>
    <t>Average Scenario Average:</t>
  </si>
  <si>
    <t>Sanitisation Technique</t>
  </si>
  <si>
    <t>SSD 1 (Kingston)</t>
  </si>
  <si>
    <t>SSD 2 (PNY)</t>
  </si>
  <si>
    <t>SSD 3 (Samsung)</t>
  </si>
  <si>
    <t>Average</t>
  </si>
  <si>
    <t>Standard Deletion</t>
  </si>
  <si>
    <t>TRIM</t>
  </si>
  <si>
    <t>Secure Erase</t>
  </si>
  <si>
    <t>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</si>
</sst>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10" fontId="0" fillId="0" borderId="0" xfId="0" applyNumberFormat="1"/>
    <xf numFmtId="9" fontId="1" fillId="0" borderId="0" xfId="0" applyNumberFormat="1" applyFont="1"/>
    <xf numFmtId="10" fontId="1" fillId="0" borderId="0" xfId="0" applyNumberFormat="1" applyFont="1"/>
    <xf numFmtId="0" fontId="0" fillId="0" borderId="2" xfId="0" applyBorder="1"/>
    <xf numFmtId="0" fontId="0" fillId="0" borderId="3" xfId="0" applyBorder="1"/>
    <xf numFmtId="0" fontId="5" fillId="0" borderId="1" xfId="0" applyFont="1" applyBorder="1"/>
    <xf numFmtId="10" fontId="0" fillId="2" borderId="0" xfId="0" applyNumberFormat="1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81D0-3CBC-4521-9A86-1E03FFA15FCF}">
  <dimension ref="B2:F18"/>
  <sheetViews>
    <sheetView workbookViewId="0">
      <selection activeCell="E32" sqref="E32"/>
    </sheetView>
  </sheetViews>
  <sheetFormatPr defaultRowHeight="15" x14ac:dyDescent="0.25"/>
  <cols>
    <col min="2" max="2" width="21.28515625" customWidth="1"/>
    <col min="3" max="3" width="32.140625" bestFit="1" customWidth="1"/>
    <col min="4" max="4" width="28.42578125" bestFit="1" customWidth="1"/>
    <col min="5" max="5" width="29.28515625" bestFit="1" customWidth="1"/>
  </cols>
  <sheetData>
    <row r="2" spans="2:6" x14ac:dyDescent="0.25">
      <c r="B2" s="12" t="s">
        <v>43</v>
      </c>
      <c r="C2" s="12"/>
    </row>
    <row r="4" spans="2:6" x14ac:dyDescent="0.25">
      <c r="B4" s="10" t="s">
        <v>42</v>
      </c>
      <c r="C4" s="10" t="s">
        <v>37</v>
      </c>
      <c r="D4" s="10" t="s">
        <v>39</v>
      </c>
      <c r="E4" s="10" t="s">
        <v>38</v>
      </c>
    </row>
    <row r="5" spans="2:6" x14ac:dyDescent="0.25">
      <c r="B5" s="8" t="s">
        <v>34</v>
      </c>
      <c r="C5" s="11">
        <f>'Kingston Normal Deletion'!E30</f>
        <v>1</v>
      </c>
      <c r="D5" s="11">
        <f>'Kingston TRIM'!E30</f>
        <v>0.82</v>
      </c>
      <c r="E5" s="11">
        <f>'Kingston Secure Erase'!E30</f>
        <v>0</v>
      </c>
    </row>
    <row r="6" spans="2:6" x14ac:dyDescent="0.25">
      <c r="B6" s="9" t="s">
        <v>35</v>
      </c>
      <c r="C6" s="5">
        <f>'PNY Normal Deletion'!E30</f>
        <v>1</v>
      </c>
      <c r="D6" s="5">
        <f>'PNY TRIM'!E30</f>
        <v>1</v>
      </c>
      <c r="E6" s="5">
        <f>'PNY Secure Erase'!F33</f>
        <v>0.48113333333333336</v>
      </c>
    </row>
    <row r="7" spans="2:6" x14ac:dyDescent="0.25">
      <c r="B7" s="9" t="s">
        <v>36</v>
      </c>
      <c r="C7" s="11">
        <f>'Samsung Normal Deletion'!E30</f>
        <v>1</v>
      </c>
      <c r="D7" s="11">
        <f>'Samsung TRIM'!E30</f>
        <v>1</v>
      </c>
      <c r="E7" s="11">
        <f>'Samsung Secure Erase'!E30</f>
        <v>0.99990000000000001</v>
      </c>
    </row>
    <row r="10" spans="2:6" x14ac:dyDescent="0.25">
      <c r="B10" s="10" t="s">
        <v>61</v>
      </c>
      <c r="C10" s="10" t="s">
        <v>62</v>
      </c>
      <c r="D10" s="10" t="s">
        <v>63</v>
      </c>
      <c r="E10" s="10" t="s">
        <v>64</v>
      </c>
      <c r="F10" s="10" t="s">
        <v>65</v>
      </c>
    </row>
    <row r="11" spans="2:6" x14ac:dyDescent="0.25">
      <c r="B11" s="8" t="s">
        <v>66</v>
      </c>
      <c r="C11" s="11">
        <v>1</v>
      </c>
      <c r="D11" s="11">
        <v>1</v>
      </c>
      <c r="E11" s="11">
        <v>1</v>
      </c>
      <c r="F11" s="11">
        <v>1</v>
      </c>
    </row>
    <row r="12" spans="2:6" x14ac:dyDescent="0.25">
      <c r="B12" s="9" t="s">
        <v>67</v>
      </c>
      <c r="C12" s="5">
        <v>0.82</v>
      </c>
      <c r="D12" s="5">
        <v>1</v>
      </c>
      <c r="E12" s="5">
        <v>1</v>
      </c>
      <c r="F12" s="5">
        <v>0.94</v>
      </c>
    </row>
    <row r="13" spans="2:6" x14ac:dyDescent="0.25">
      <c r="B13" s="9" t="s">
        <v>68</v>
      </c>
      <c r="C13" s="11">
        <v>0</v>
      </c>
      <c r="D13" s="11">
        <v>0.48110000000000003</v>
      </c>
      <c r="E13" s="11">
        <v>0.99990000000000001</v>
      </c>
      <c r="F13" s="11">
        <v>0.49370000000000003</v>
      </c>
    </row>
    <row r="15" spans="2:6" x14ac:dyDescent="0.25">
      <c r="B15" s="10" t="s">
        <v>69</v>
      </c>
      <c r="C15" s="10" t="s">
        <v>66</v>
      </c>
      <c r="D15" s="10" t="s">
        <v>67</v>
      </c>
      <c r="E15" s="10" t="s">
        <v>68</v>
      </c>
    </row>
    <row r="16" spans="2:6" x14ac:dyDescent="0.25">
      <c r="B16" s="8" t="s">
        <v>34</v>
      </c>
      <c r="C16" s="11">
        <v>1</v>
      </c>
      <c r="D16" s="11">
        <v>0.82</v>
      </c>
      <c r="E16" s="11">
        <v>0</v>
      </c>
    </row>
    <row r="17" spans="2:5" x14ac:dyDescent="0.25">
      <c r="B17" s="9" t="s">
        <v>35</v>
      </c>
      <c r="C17" s="5">
        <v>1</v>
      </c>
      <c r="D17" s="5">
        <v>1</v>
      </c>
      <c r="E17" s="5">
        <v>0.48110000000000003</v>
      </c>
    </row>
    <row r="18" spans="2:5" x14ac:dyDescent="0.25">
      <c r="B18" s="9" t="s">
        <v>36</v>
      </c>
      <c r="C18" s="11">
        <v>1</v>
      </c>
      <c r="D18" s="11">
        <v>1</v>
      </c>
      <c r="E18" s="11">
        <v>0.99990000000000001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687C-3D1F-4936-99D4-5F9F4BB937FB}">
  <dimension ref="B2:J30"/>
  <sheetViews>
    <sheetView workbookViewId="0">
      <selection activeCell="B2" sqref="B2:B3"/>
    </sheetView>
  </sheetViews>
  <sheetFormatPr defaultRowHeight="15" x14ac:dyDescent="0.25"/>
  <sheetData>
    <row r="2" spans="2:10" x14ac:dyDescent="0.25">
      <c r="B2" s="1" t="s">
        <v>47</v>
      </c>
    </row>
    <row r="3" spans="2:10" x14ac:dyDescent="0.25">
      <c r="B3" s="1"/>
    </row>
    <row r="4" spans="2:10" x14ac:dyDescent="0.25">
      <c r="C4" s="1" t="s">
        <v>0</v>
      </c>
    </row>
    <row r="5" spans="2:10" x14ac:dyDescent="0.25">
      <c r="C5" s="2"/>
    </row>
    <row r="6" spans="2:10" x14ac:dyDescent="0.25">
      <c r="C6" s="3" t="s">
        <v>1</v>
      </c>
      <c r="D6" s="3" t="s">
        <v>2</v>
      </c>
      <c r="E6" s="3"/>
      <c r="F6" s="3"/>
      <c r="G6" s="3"/>
      <c r="H6" s="3"/>
      <c r="I6" s="3"/>
      <c r="J6" s="3"/>
    </row>
    <row r="7" spans="2:10" x14ac:dyDescent="0.25">
      <c r="D7" s="3" t="s">
        <v>3</v>
      </c>
      <c r="E7" s="3"/>
      <c r="F7" s="3"/>
    </row>
    <row r="9" spans="2:10" x14ac:dyDescent="0.25">
      <c r="C9" s="4" t="s">
        <v>4</v>
      </c>
    </row>
    <row r="11" spans="2:10" x14ac:dyDescent="0.25">
      <c r="C11" s="1" t="s">
        <v>5</v>
      </c>
    </row>
    <row r="13" spans="2:10" x14ac:dyDescent="0.25">
      <c r="C13" s="3" t="s">
        <v>6</v>
      </c>
      <c r="D13" s="3" t="s">
        <v>7</v>
      </c>
      <c r="E13" s="3"/>
      <c r="F13" s="3"/>
      <c r="G13" s="3"/>
      <c r="H13" s="3"/>
      <c r="I13" s="3"/>
      <c r="J13" s="3"/>
    </row>
    <row r="14" spans="2:10" x14ac:dyDescent="0.25">
      <c r="C14" s="3"/>
      <c r="D14" s="3" t="s">
        <v>3</v>
      </c>
      <c r="E14" s="3"/>
      <c r="F14" s="3"/>
      <c r="G14" s="3"/>
      <c r="H14" s="3"/>
      <c r="I14" s="3"/>
      <c r="J14" s="3"/>
    </row>
    <row r="16" spans="2:10" x14ac:dyDescent="0.25">
      <c r="C16" s="4" t="s">
        <v>8</v>
      </c>
    </row>
    <row r="18" spans="3:10" x14ac:dyDescent="0.25">
      <c r="C18" s="1" t="s">
        <v>9</v>
      </c>
    </row>
    <row r="19" spans="3:10" x14ac:dyDescent="0.25">
      <c r="C19" s="1"/>
    </row>
    <row r="20" spans="3:10" x14ac:dyDescent="0.25">
      <c r="C20" s="3" t="s">
        <v>10</v>
      </c>
      <c r="D20" s="3" t="s">
        <v>11</v>
      </c>
      <c r="E20" s="3"/>
      <c r="F20" s="3"/>
      <c r="G20" s="3"/>
      <c r="H20" s="3"/>
      <c r="I20" s="3"/>
      <c r="J20" s="3"/>
    </row>
    <row r="21" spans="3:10" x14ac:dyDescent="0.25">
      <c r="C21" s="3"/>
      <c r="D21" s="3" t="s">
        <v>3</v>
      </c>
      <c r="E21" s="3"/>
      <c r="F21" s="3"/>
      <c r="G21" s="3"/>
      <c r="H21" s="3"/>
      <c r="I21" s="3"/>
      <c r="J21" s="3"/>
    </row>
    <row r="23" spans="3:10" x14ac:dyDescent="0.25">
      <c r="C23" s="4" t="s">
        <v>12</v>
      </c>
    </row>
    <row r="25" spans="3:10" x14ac:dyDescent="0.25">
      <c r="C25" s="1" t="s">
        <v>13</v>
      </c>
    </row>
    <row r="26" spans="3:10" x14ac:dyDescent="0.25">
      <c r="C26" s="1"/>
    </row>
    <row r="27" spans="3:10" x14ac:dyDescent="0.25">
      <c r="C27" s="3" t="s">
        <v>14</v>
      </c>
      <c r="D27" s="3"/>
      <c r="E27" s="3"/>
      <c r="F27" s="3"/>
      <c r="G27" s="3"/>
    </row>
    <row r="28" spans="3:10" x14ac:dyDescent="0.25">
      <c r="C28" s="3"/>
      <c r="D28" s="3" t="s">
        <v>15</v>
      </c>
      <c r="E28" s="3"/>
      <c r="F28" s="3"/>
      <c r="G28" s="3"/>
    </row>
    <row r="30" spans="3:10" x14ac:dyDescent="0.25">
      <c r="C30" s="4" t="s">
        <v>40</v>
      </c>
      <c r="E30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8A72-8B9C-4863-BA86-EFB0D1DCCE85}">
  <dimension ref="B2:J30"/>
  <sheetViews>
    <sheetView workbookViewId="0">
      <selection activeCell="B2" sqref="B2"/>
    </sheetView>
  </sheetViews>
  <sheetFormatPr defaultRowHeight="15" x14ac:dyDescent="0.25"/>
  <sheetData>
    <row r="2" spans="2:10" x14ac:dyDescent="0.25">
      <c r="B2" s="1" t="s">
        <v>47</v>
      </c>
    </row>
    <row r="3" spans="2:10" x14ac:dyDescent="0.25">
      <c r="B3" s="1"/>
    </row>
    <row r="4" spans="2:10" x14ac:dyDescent="0.25">
      <c r="B4" s="1"/>
      <c r="C4" s="1" t="s">
        <v>0</v>
      </c>
    </row>
    <row r="5" spans="2:10" x14ac:dyDescent="0.25">
      <c r="C5" s="2"/>
    </row>
    <row r="6" spans="2:10" x14ac:dyDescent="0.25">
      <c r="C6" s="3" t="s">
        <v>1</v>
      </c>
      <c r="D6" s="3" t="s">
        <v>2</v>
      </c>
      <c r="E6" s="3"/>
      <c r="F6" s="3"/>
      <c r="G6" s="3"/>
      <c r="H6" s="3"/>
      <c r="I6" s="3"/>
      <c r="J6" s="3"/>
    </row>
    <row r="7" spans="2:10" x14ac:dyDescent="0.25">
      <c r="D7" s="3" t="s">
        <v>16</v>
      </c>
      <c r="E7" s="3"/>
      <c r="F7" s="3"/>
    </row>
    <row r="9" spans="2:10" x14ac:dyDescent="0.25">
      <c r="C9" s="4" t="s">
        <v>17</v>
      </c>
    </row>
    <row r="11" spans="2:10" x14ac:dyDescent="0.25">
      <c r="C11" s="1" t="s">
        <v>5</v>
      </c>
    </row>
    <row r="13" spans="2:10" x14ac:dyDescent="0.25">
      <c r="C13" s="3" t="s">
        <v>6</v>
      </c>
      <c r="D13" s="3" t="s">
        <v>7</v>
      </c>
      <c r="E13" s="3"/>
      <c r="F13" s="3"/>
      <c r="G13" s="3"/>
      <c r="H13" s="3"/>
      <c r="I13" s="3"/>
      <c r="J13" s="3"/>
    </row>
    <row r="14" spans="2:10" x14ac:dyDescent="0.25">
      <c r="C14" s="3"/>
      <c r="D14" s="3" t="s">
        <v>18</v>
      </c>
      <c r="E14" s="3"/>
      <c r="F14" s="3"/>
      <c r="G14" s="3"/>
      <c r="H14" s="3"/>
      <c r="I14" s="3"/>
      <c r="J14" s="3"/>
    </row>
    <row r="16" spans="2:10" x14ac:dyDescent="0.25">
      <c r="C16" s="4" t="s">
        <v>19</v>
      </c>
    </row>
    <row r="18" spans="3:10" x14ac:dyDescent="0.25">
      <c r="C18" s="1" t="s">
        <v>9</v>
      </c>
    </row>
    <row r="19" spans="3:10" x14ac:dyDescent="0.25">
      <c r="C19" s="1"/>
    </row>
    <row r="20" spans="3:10" x14ac:dyDescent="0.25">
      <c r="C20" s="3" t="s">
        <v>10</v>
      </c>
      <c r="D20" s="3" t="s">
        <v>11</v>
      </c>
      <c r="E20" s="3"/>
      <c r="F20" s="3"/>
      <c r="G20" s="3"/>
      <c r="H20" s="3"/>
      <c r="I20" s="3"/>
      <c r="J20" s="3"/>
    </row>
    <row r="21" spans="3:10" x14ac:dyDescent="0.25">
      <c r="C21" s="3"/>
      <c r="D21" s="3" t="s">
        <v>18</v>
      </c>
      <c r="E21" s="3"/>
      <c r="F21" s="3"/>
      <c r="G21" s="3"/>
      <c r="H21" s="3"/>
      <c r="I21" s="3"/>
      <c r="J21" s="3"/>
    </row>
    <row r="23" spans="3:10" x14ac:dyDescent="0.25">
      <c r="C23" s="4" t="s">
        <v>20</v>
      </c>
    </row>
    <row r="25" spans="3:10" x14ac:dyDescent="0.25">
      <c r="C25" s="1" t="s">
        <v>13</v>
      </c>
    </row>
    <row r="26" spans="3:10" x14ac:dyDescent="0.25">
      <c r="C26" s="1"/>
    </row>
    <row r="27" spans="3:10" x14ac:dyDescent="0.25">
      <c r="C27" s="3" t="s">
        <v>14</v>
      </c>
      <c r="D27" s="3"/>
      <c r="E27" s="3"/>
      <c r="F27" s="3"/>
      <c r="G27" s="3"/>
    </row>
    <row r="28" spans="3:10" x14ac:dyDescent="0.25">
      <c r="C28" s="3"/>
      <c r="D28" s="3" t="s">
        <v>21</v>
      </c>
      <c r="E28" s="3"/>
      <c r="F28" s="3"/>
      <c r="G28" s="3"/>
    </row>
    <row r="30" spans="3:10" x14ac:dyDescent="0.25">
      <c r="C30" s="4" t="s">
        <v>40</v>
      </c>
      <c r="E30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8DF7B-E0E7-4E7C-A3E6-057CEA155643}">
  <dimension ref="B2:J30"/>
  <sheetViews>
    <sheetView workbookViewId="0">
      <selection activeCell="B2" sqref="B2"/>
    </sheetView>
  </sheetViews>
  <sheetFormatPr defaultRowHeight="15" x14ac:dyDescent="0.25"/>
  <sheetData>
    <row r="2" spans="2:10" x14ac:dyDescent="0.25">
      <c r="B2" s="1" t="s">
        <v>47</v>
      </c>
    </row>
    <row r="3" spans="2:10" x14ac:dyDescent="0.25">
      <c r="B3" s="1"/>
    </row>
    <row r="4" spans="2:10" x14ac:dyDescent="0.25">
      <c r="C4" s="1" t="s">
        <v>0</v>
      </c>
    </row>
    <row r="5" spans="2:10" x14ac:dyDescent="0.25">
      <c r="C5" s="2"/>
    </row>
    <row r="6" spans="2:10" x14ac:dyDescent="0.25">
      <c r="C6" s="3" t="s">
        <v>1</v>
      </c>
      <c r="D6" s="3" t="s">
        <v>2</v>
      </c>
      <c r="E6" s="3"/>
      <c r="F6" s="3"/>
      <c r="G6" s="3"/>
      <c r="H6" s="3"/>
      <c r="I6" s="3"/>
      <c r="J6" s="3"/>
    </row>
    <row r="7" spans="2:10" x14ac:dyDescent="0.25">
      <c r="D7" s="3" t="s">
        <v>22</v>
      </c>
      <c r="E7" s="3"/>
      <c r="F7" s="3"/>
    </row>
    <row r="9" spans="2:10" x14ac:dyDescent="0.25">
      <c r="C9" s="4" t="s">
        <v>23</v>
      </c>
    </row>
    <row r="11" spans="2:10" x14ac:dyDescent="0.25">
      <c r="C11" s="1" t="s">
        <v>5</v>
      </c>
    </row>
    <row r="13" spans="2:10" x14ac:dyDescent="0.25">
      <c r="C13" s="3" t="s">
        <v>6</v>
      </c>
      <c r="D13" s="3" t="s">
        <v>7</v>
      </c>
      <c r="E13" s="3"/>
      <c r="F13" s="3"/>
      <c r="G13" s="3"/>
      <c r="H13" s="3"/>
      <c r="I13" s="3"/>
      <c r="J13" s="3"/>
    </row>
    <row r="14" spans="2:10" x14ac:dyDescent="0.25">
      <c r="C14" s="3"/>
      <c r="D14" s="3" t="s">
        <v>24</v>
      </c>
      <c r="E14" s="3"/>
      <c r="F14" s="3"/>
      <c r="G14" s="3"/>
      <c r="H14" s="3"/>
      <c r="I14" s="3"/>
      <c r="J14" s="3"/>
    </row>
    <row r="16" spans="2:10" x14ac:dyDescent="0.25">
      <c r="C16" s="4" t="s">
        <v>25</v>
      </c>
    </row>
    <row r="18" spans="3:10" x14ac:dyDescent="0.25">
      <c r="C18" s="1" t="s">
        <v>9</v>
      </c>
    </row>
    <row r="19" spans="3:10" x14ac:dyDescent="0.25">
      <c r="C19" s="1"/>
    </row>
    <row r="20" spans="3:10" x14ac:dyDescent="0.25">
      <c r="C20" s="3" t="s">
        <v>10</v>
      </c>
      <c r="D20" s="3" t="s">
        <v>11</v>
      </c>
      <c r="E20" s="3"/>
      <c r="F20" s="3"/>
      <c r="G20" s="3"/>
      <c r="H20" s="3"/>
      <c r="I20" s="3"/>
      <c r="J20" s="3"/>
    </row>
    <row r="21" spans="3:10" x14ac:dyDescent="0.25">
      <c r="C21" s="3"/>
      <c r="D21" s="3" t="s">
        <v>26</v>
      </c>
      <c r="E21" s="3"/>
      <c r="F21" s="3"/>
      <c r="G21" s="3"/>
      <c r="H21" s="3"/>
      <c r="I21" s="3"/>
      <c r="J21" s="3"/>
    </row>
    <row r="23" spans="3:10" x14ac:dyDescent="0.25">
      <c r="C23" s="4" t="s">
        <v>27</v>
      </c>
    </row>
    <row r="25" spans="3:10" x14ac:dyDescent="0.25">
      <c r="C25" s="1" t="s">
        <v>13</v>
      </c>
    </row>
    <row r="26" spans="3:10" x14ac:dyDescent="0.25">
      <c r="C26" s="1"/>
    </row>
    <row r="27" spans="3:10" x14ac:dyDescent="0.25">
      <c r="C27" s="3" t="s">
        <v>14</v>
      </c>
      <c r="D27" s="3"/>
      <c r="E27" s="3"/>
      <c r="F27" s="3"/>
      <c r="G27" s="3"/>
    </row>
    <row r="28" spans="3:10" x14ac:dyDescent="0.25">
      <c r="C28" s="3"/>
      <c r="D28" s="3" t="s">
        <v>28</v>
      </c>
      <c r="E28" s="3"/>
      <c r="F28" s="3"/>
      <c r="G28" s="3"/>
    </row>
    <row r="30" spans="3:10" x14ac:dyDescent="0.25">
      <c r="C30" s="4" t="s">
        <v>40</v>
      </c>
      <c r="E30" s="6">
        <v>0.82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8D61-21D0-4A69-9CF1-5147970E82D1}">
  <dimension ref="B2:I30"/>
  <sheetViews>
    <sheetView workbookViewId="0">
      <selection activeCell="B2" sqref="B2"/>
    </sheetView>
  </sheetViews>
  <sheetFormatPr defaultRowHeight="15" x14ac:dyDescent="0.25"/>
  <sheetData>
    <row r="2" spans="2:9" x14ac:dyDescent="0.25">
      <c r="B2" s="1" t="s">
        <v>47</v>
      </c>
    </row>
    <row r="3" spans="2:9" x14ac:dyDescent="0.25">
      <c r="B3" s="1"/>
    </row>
    <row r="4" spans="2:9" x14ac:dyDescent="0.25">
      <c r="C4" s="1" t="s">
        <v>0</v>
      </c>
    </row>
    <row r="5" spans="2:9" x14ac:dyDescent="0.25">
      <c r="C5" s="2"/>
    </row>
    <row r="6" spans="2:9" x14ac:dyDescent="0.25">
      <c r="C6" s="3" t="s">
        <v>1</v>
      </c>
      <c r="D6" s="3" t="s">
        <v>2</v>
      </c>
      <c r="E6" s="3"/>
      <c r="F6" s="3"/>
      <c r="G6" s="3"/>
      <c r="H6" s="3"/>
      <c r="I6" s="3"/>
    </row>
    <row r="7" spans="2:9" x14ac:dyDescent="0.25">
      <c r="D7" s="3" t="s">
        <v>3</v>
      </c>
      <c r="E7" s="3"/>
      <c r="F7" s="3"/>
    </row>
    <row r="9" spans="2:9" x14ac:dyDescent="0.25">
      <c r="C9" s="4" t="s">
        <v>4</v>
      </c>
    </row>
    <row r="11" spans="2:9" x14ac:dyDescent="0.25">
      <c r="C11" s="1" t="s">
        <v>5</v>
      </c>
    </row>
    <row r="13" spans="2:9" x14ac:dyDescent="0.25">
      <c r="C13" s="3" t="s">
        <v>6</v>
      </c>
      <c r="D13" s="3" t="s">
        <v>7</v>
      </c>
      <c r="E13" s="3"/>
      <c r="F13" s="3"/>
      <c r="G13" s="3"/>
      <c r="H13" s="3"/>
      <c r="I13" s="3"/>
    </row>
    <row r="14" spans="2:9" x14ac:dyDescent="0.25">
      <c r="C14" s="3"/>
      <c r="D14" s="3" t="s">
        <v>3</v>
      </c>
      <c r="E14" s="3"/>
      <c r="F14" s="3"/>
      <c r="G14" s="3"/>
      <c r="H14" s="3"/>
      <c r="I14" s="3"/>
    </row>
    <row r="16" spans="2:9" x14ac:dyDescent="0.25">
      <c r="C16" s="4" t="s">
        <v>8</v>
      </c>
    </row>
    <row r="18" spans="3:9" x14ac:dyDescent="0.25">
      <c r="C18" s="1" t="s">
        <v>9</v>
      </c>
    </row>
    <row r="19" spans="3:9" x14ac:dyDescent="0.25">
      <c r="C19" s="1"/>
    </row>
    <row r="20" spans="3:9" x14ac:dyDescent="0.25">
      <c r="C20" s="3" t="s">
        <v>10</v>
      </c>
      <c r="D20" s="3" t="s">
        <v>11</v>
      </c>
      <c r="E20" s="3"/>
      <c r="F20" s="3"/>
      <c r="G20" s="3"/>
      <c r="H20" s="3"/>
      <c r="I20" s="3"/>
    </row>
    <row r="21" spans="3:9" x14ac:dyDescent="0.25">
      <c r="C21" s="3"/>
      <c r="D21" s="3" t="s">
        <v>3</v>
      </c>
      <c r="E21" s="3"/>
      <c r="F21" s="3"/>
      <c r="G21" s="3"/>
      <c r="H21" s="3"/>
      <c r="I21" s="3"/>
    </row>
    <row r="23" spans="3:9" x14ac:dyDescent="0.25">
      <c r="C23" s="4" t="s">
        <v>12</v>
      </c>
    </row>
    <row r="25" spans="3:9" x14ac:dyDescent="0.25">
      <c r="C25" s="1" t="s">
        <v>13</v>
      </c>
    </row>
    <row r="26" spans="3:9" x14ac:dyDescent="0.25">
      <c r="C26" s="1"/>
    </row>
    <row r="27" spans="3:9" x14ac:dyDescent="0.25">
      <c r="C27" s="3" t="s">
        <v>14</v>
      </c>
      <c r="D27" s="3"/>
      <c r="E27" s="3"/>
      <c r="F27" s="3"/>
      <c r="G27" s="3"/>
    </row>
    <row r="28" spans="3:9" x14ac:dyDescent="0.25">
      <c r="C28" s="3"/>
      <c r="D28" s="3" t="s">
        <v>15</v>
      </c>
      <c r="E28" s="3"/>
      <c r="F28" s="3"/>
      <c r="G28" s="3"/>
    </row>
    <row r="30" spans="3:9" x14ac:dyDescent="0.25">
      <c r="C30" s="4" t="s">
        <v>40</v>
      </c>
      <c r="E30" s="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07C-6519-4C97-8FDF-A86D461EEC63}">
  <dimension ref="B2:AD33"/>
  <sheetViews>
    <sheetView tabSelected="1" workbookViewId="0">
      <selection activeCell="F33" sqref="F33"/>
    </sheetView>
  </sheetViews>
  <sheetFormatPr defaultRowHeight="15" x14ac:dyDescent="0.25"/>
  <sheetData>
    <row r="2" spans="2:30" x14ac:dyDescent="0.25">
      <c r="B2" s="1" t="s">
        <v>47</v>
      </c>
      <c r="M2" s="1" t="s">
        <v>48</v>
      </c>
      <c r="W2" s="1" t="s">
        <v>55</v>
      </c>
    </row>
    <row r="4" spans="2:30" x14ac:dyDescent="0.25">
      <c r="C4" s="1" t="s">
        <v>0</v>
      </c>
      <c r="N4" s="1" t="s">
        <v>0</v>
      </c>
      <c r="X4" s="1" t="s">
        <v>0</v>
      </c>
    </row>
    <row r="5" spans="2:30" x14ac:dyDescent="0.25">
      <c r="C5" s="2"/>
      <c r="N5" s="2"/>
      <c r="X5" s="2"/>
    </row>
    <row r="6" spans="2:30" x14ac:dyDescent="0.25">
      <c r="C6" s="3" t="s">
        <v>1</v>
      </c>
      <c r="D6" s="3" t="s">
        <v>2</v>
      </c>
      <c r="E6" s="3"/>
      <c r="F6" s="3"/>
      <c r="G6" s="3"/>
      <c r="H6" s="3"/>
      <c r="I6" s="3"/>
      <c r="J6" s="3"/>
      <c r="N6" s="3" t="s">
        <v>1</v>
      </c>
      <c r="O6" s="3" t="s">
        <v>2</v>
      </c>
      <c r="P6" s="3"/>
      <c r="Q6" s="3"/>
      <c r="R6" s="3"/>
      <c r="S6" s="3"/>
      <c r="X6" s="3" t="s">
        <v>1</v>
      </c>
      <c r="Y6" s="3" t="s">
        <v>2</v>
      </c>
      <c r="Z6" s="3"/>
      <c r="AA6" s="3"/>
      <c r="AB6" s="3"/>
      <c r="AC6" s="3"/>
      <c r="AD6" s="3"/>
    </row>
    <row r="7" spans="2:30" x14ac:dyDescent="0.25">
      <c r="D7" s="3" t="s">
        <v>3</v>
      </c>
      <c r="E7" s="3"/>
      <c r="F7" s="3"/>
      <c r="O7" s="3" t="s">
        <v>49</v>
      </c>
      <c r="P7" s="3"/>
      <c r="Q7" s="3"/>
      <c r="Y7" s="3" t="s">
        <v>56</v>
      </c>
      <c r="Z7" s="3"/>
      <c r="AA7" s="3"/>
    </row>
    <row r="9" spans="2:30" x14ac:dyDescent="0.25">
      <c r="C9" s="4" t="s">
        <v>4</v>
      </c>
      <c r="N9" s="4" t="s">
        <v>50</v>
      </c>
      <c r="X9" s="4" t="s">
        <v>57</v>
      </c>
    </row>
    <row r="11" spans="2:30" x14ac:dyDescent="0.25">
      <c r="C11" s="1" t="s">
        <v>5</v>
      </c>
      <c r="N11" s="1" t="s">
        <v>5</v>
      </c>
      <c r="X11" s="1" t="s">
        <v>5</v>
      </c>
    </row>
    <row r="13" spans="2:30" x14ac:dyDescent="0.25">
      <c r="C13" s="3" t="s">
        <v>6</v>
      </c>
      <c r="D13" s="3" t="s">
        <v>7</v>
      </c>
      <c r="E13" s="3"/>
      <c r="F13" s="3"/>
      <c r="G13" s="3"/>
      <c r="H13" s="3"/>
      <c r="I13" s="3"/>
      <c r="J13" s="3"/>
      <c r="N13" s="3" t="s">
        <v>6</v>
      </c>
      <c r="O13" s="3" t="s">
        <v>7</v>
      </c>
      <c r="P13" s="3"/>
      <c r="Q13" s="3"/>
      <c r="R13" s="3"/>
      <c r="S13" s="3"/>
      <c r="X13" s="3" t="s">
        <v>6</v>
      </c>
      <c r="Y13" s="3" t="s">
        <v>7</v>
      </c>
      <c r="Z13" s="3"/>
      <c r="AA13" s="3"/>
      <c r="AB13" s="3"/>
      <c r="AC13" s="3"/>
      <c r="AD13" s="3"/>
    </row>
    <row r="14" spans="2:30" x14ac:dyDescent="0.25">
      <c r="C14" s="3"/>
      <c r="D14" s="3" t="s">
        <v>44</v>
      </c>
      <c r="E14" s="3"/>
      <c r="F14" s="3"/>
      <c r="G14" s="3"/>
      <c r="H14" s="3"/>
      <c r="I14" s="3"/>
      <c r="J14" s="3"/>
      <c r="N14" s="3"/>
      <c r="O14" s="3" t="s">
        <v>54</v>
      </c>
      <c r="P14" s="3"/>
      <c r="Q14" s="3"/>
      <c r="R14" s="3"/>
      <c r="S14" s="3"/>
      <c r="X14" s="3"/>
      <c r="Y14" s="3" t="s">
        <v>58</v>
      </c>
      <c r="Z14" s="3"/>
      <c r="AA14" s="3"/>
      <c r="AB14" s="3"/>
      <c r="AC14" s="3"/>
      <c r="AD14" s="3"/>
    </row>
    <row r="16" spans="2:30" x14ac:dyDescent="0.25">
      <c r="C16" s="4" t="s">
        <v>45</v>
      </c>
      <c r="N16" s="4" t="s">
        <v>51</v>
      </c>
      <c r="X16" s="4" t="s">
        <v>19</v>
      </c>
    </row>
    <row r="18" spans="3:30" x14ac:dyDescent="0.25">
      <c r="C18" s="1" t="s">
        <v>9</v>
      </c>
      <c r="N18" s="1" t="s">
        <v>9</v>
      </c>
      <c r="X18" s="1" t="s">
        <v>9</v>
      </c>
    </row>
    <row r="19" spans="3:30" x14ac:dyDescent="0.25">
      <c r="C19" s="1"/>
      <c r="N19" s="1"/>
      <c r="X19" s="1"/>
    </row>
    <row r="20" spans="3:30" x14ac:dyDescent="0.25">
      <c r="C20" s="3" t="s">
        <v>10</v>
      </c>
      <c r="D20" s="3" t="s">
        <v>11</v>
      </c>
      <c r="E20" s="3"/>
      <c r="F20" s="3"/>
      <c r="G20" s="3"/>
      <c r="H20" s="3"/>
      <c r="I20" s="3"/>
      <c r="J20" s="3"/>
      <c r="N20" s="3" t="s">
        <v>10</v>
      </c>
      <c r="O20" s="3" t="s">
        <v>11</v>
      </c>
      <c r="P20" s="3"/>
      <c r="Q20" s="3"/>
      <c r="R20" s="3"/>
      <c r="S20" s="3"/>
      <c r="X20" s="3" t="s">
        <v>10</v>
      </c>
      <c r="Y20" s="3" t="s">
        <v>11</v>
      </c>
      <c r="Z20" s="3"/>
      <c r="AA20" s="3"/>
      <c r="AB20" s="3"/>
      <c r="AC20" s="3"/>
      <c r="AD20" s="3"/>
    </row>
    <row r="21" spans="3:30" x14ac:dyDescent="0.25">
      <c r="C21" s="3"/>
      <c r="D21" s="3" t="s">
        <v>29</v>
      </c>
      <c r="E21" s="3"/>
      <c r="F21" s="3"/>
      <c r="G21" s="3"/>
      <c r="H21" s="3"/>
      <c r="I21" s="3"/>
      <c r="J21" s="3"/>
      <c r="N21" s="3"/>
      <c r="O21" s="3" t="s">
        <v>52</v>
      </c>
      <c r="P21" s="3"/>
      <c r="Q21" s="3"/>
      <c r="R21" s="3"/>
      <c r="S21" s="3"/>
      <c r="X21" s="3"/>
      <c r="Y21" s="3" t="s">
        <v>58</v>
      </c>
      <c r="Z21" s="3"/>
      <c r="AA21" s="3"/>
      <c r="AB21" s="3"/>
      <c r="AC21" s="3"/>
      <c r="AD21" s="3"/>
    </row>
    <row r="23" spans="3:30" x14ac:dyDescent="0.25">
      <c r="C23" s="4" t="s">
        <v>30</v>
      </c>
      <c r="N23" s="4" t="s">
        <v>12</v>
      </c>
      <c r="X23" s="4" t="s">
        <v>20</v>
      </c>
    </row>
    <row r="25" spans="3:30" x14ac:dyDescent="0.25">
      <c r="C25" s="1" t="s">
        <v>13</v>
      </c>
      <c r="N25" s="1" t="s">
        <v>13</v>
      </c>
      <c r="X25" s="1" t="s">
        <v>13</v>
      </c>
    </row>
    <row r="26" spans="3:30" x14ac:dyDescent="0.25">
      <c r="C26" s="1"/>
      <c r="N26" s="1"/>
      <c r="X26" s="1"/>
    </row>
    <row r="27" spans="3:30" x14ac:dyDescent="0.25">
      <c r="C27" s="3" t="s">
        <v>14</v>
      </c>
      <c r="D27" s="3"/>
      <c r="E27" s="3"/>
      <c r="F27" s="3"/>
      <c r="G27" s="3"/>
      <c r="N27" s="3" t="s">
        <v>14</v>
      </c>
      <c r="O27" s="3"/>
      <c r="P27" s="3"/>
      <c r="Q27" s="3"/>
      <c r="R27" s="3"/>
      <c r="X27" s="3" t="s">
        <v>14</v>
      </c>
      <c r="Y27" s="3"/>
      <c r="Z27" s="3"/>
      <c r="AA27" s="3"/>
      <c r="AB27" s="3"/>
    </row>
    <row r="28" spans="3:30" x14ac:dyDescent="0.25">
      <c r="C28" s="3"/>
      <c r="D28" s="3" t="s">
        <v>46</v>
      </c>
      <c r="E28" s="3"/>
      <c r="F28" s="3"/>
      <c r="G28" s="3"/>
      <c r="N28" s="3"/>
      <c r="O28" s="3" t="s">
        <v>53</v>
      </c>
      <c r="P28" s="3"/>
      <c r="Q28" s="3"/>
      <c r="R28" s="3"/>
      <c r="X28" s="3"/>
      <c r="Y28" s="3" t="s">
        <v>59</v>
      </c>
      <c r="Z28" s="3"/>
      <c r="AA28" s="3"/>
      <c r="AB28" s="3"/>
    </row>
    <row r="30" spans="3:30" x14ac:dyDescent="0.25">
      <c r="C30" s="4" t="s">
        <v>41</v>
      </c>
      <c r="E30" s="7">
        <v>0.40670000000000001</v>
      </c>
      <c r="N30" s="4" t="s">
        <v>40</v>
      </c>
      <c r="P30" s="6">
        <v>0.67</v>
      </c>
      <c r="X30" s="4" t="s">
        <v>40</v>
      </c>
      <c r="Z30" s="7">
        <v>0.36670000000000003</v>
      </c>
    </row>
    <row r="33" spans="3:6" x14ac:dyDescent="0.25">
      <c r="C33" s="4" t="s">
        <v>60</v>
      </c>
      <c r="F33" s="7">
        <f>AVERAGE(E30,P30,Z30)</f>
        <v>0.48113333333333336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2CD4-50E6-490C-ADC2-A0887B6CF295}">
  <dimension ref="B2:I30"/>
  <sheetViews>
    <sheetView workbookViewId="0">
      <selection activeCell="B2" sqref="B2"/>
    </sheetView>
  </sheetViews>
  <sheetFormatPr defaultRowHeight="15" x14ac:dyDescent="0.25"/>
  <sheetData>
    <row r="2" spans="2:9" x14ac:dyDescent="0.25">
      <c r="B2" s="1" t="s">
        <v>47</v>
      </c>
    </row>
    <row r="3" spans="2:9" x14ac:dyDescent="0.25">
      <c r="B3" s="1"/>
    </row>
    <row r="4" spans="2:9" x14ac:dyDescent="0.25">
      <c r="C4" s="1" t="s">
        <v>0</v>
      </c>
    </row>
    <row r="5" spans="2:9" x14ac:dyDescent="0.25">
      <c r="C5" s="2"/>
    </row>
    <row r="6" spans="2:9" x14ac:dyDescent="0.25">
      <c r="C6" s="3" t="s">
        <v>1</v>
      </c>
      <c r="D6" s="3" t="s">
        <v>2</v>
      </c>
      <c r="E6" s="3"/>
      <c r="F6" s="3"/>
      <c r="G6" s="3"/>
      <c r="H6" s="3"/>
      <c r="I6" s="3"/>
    </row>
    <row r="7" spans="2:9" x14ac:dyDescent="0.25">
      <c r="D7" s="3" t="s">
        <v>3</v>
      </c>
      <c r="E7" s="3"/>
      <c r="F7" s="3"/>
    </row>
    <row r="9" spans="2:9" x14ac:dyDescent="0.25">
      <c r="C9" s="4" t="s">
        <v>4</v>
      </c>
    </row>
    <row r="11" spans="2:9" x14ac:dyDescent="0.25">
      <c r="C11" s="1" t="s">
        <v>5</v>
      </c>
    </row>
    <row r="13" spans="2:9" x14ac:dyDescent="0.25">
      <c r="C13" s="3" t="s">
        <v>6</v>
      </c>
      <c r="D13" s="3" t="s">
        <v>7</v>
      </c>
      <c r="E13" s="3"/>
      <c r="F13" s="3"/>
      <c r="G13" s="3"/>
      <c r="H13" s="3"/>
      <c r="I13" s="3"/>
    </row>
    <row r="14" spans="2:9" x14ac:dyDescent="0.25">
      <c r="C14" s="3"/>
      <c r="D14" s="3" t="s">
        <v>3</v>
      </c>
      <c r="E14" s="3"/>
      <c r="F14" s="3"/>
      <c r="G14" s="3"/>
      <c r="H14" s="3"/>
      <c r="I14" s="3"/>
    </row>
    <row r="16" spans="2:9" x14ac:dyDescent="0.25">
      <c r="C16" s="4" t="s">
        <v>8</v>
      </c>
    </row>
    <row r="18" spans="3:9" x14ac:dyDescent="0.25">
      <c r="C18" s="1" t="s">
        <v>9</v>
      </c>
    </row>
    <row r="19" spans="3:9" x14ac:dyDescent="0.25">
      <c r="C19" s="1"/>
    </row>
    <row r="20" spans="3:9" x14ac:dyDescent="0.25">
      <c r="C20" s="3" t="s">
        <v>10</v>
      </c>
      <c r="D20" s="3" t="s">
        <v>11</v>
      </c>
      <c r="E20" s="3"/>
      <c r="F20" s="3"/>
      <c r="G20" s="3"/>
      <c r="H20" s="3"/>
      <c r="I20" s="3"/>
    </row>
    <row r="21" spans="3:9" x14ac:dyDescent="0.25">
      <c r="C21" s="3"/>
      <c r="D21" s="3" t="s">
        <v>3</v>
      </c>
      <c r="E21" s="3"/>
      <c r="F21" s="3"/>
      <c r="G21" s="3"/>
      <c r="H21" s="3"/>
      <c r="I21" s="3"/>
    </row>
    <row r="23" spans="3:9" x14ac:dyDescent="0.25">
      <c r="C23" s="4" t="s">
        <v>12</v>
      </c>
    </row>
    <row r="25" spans="3:9" x14ac:dyDescent="0.25">
      <c r="C25" s="1" t="s">
        <v>13</v>
      </c>
    </row>
    <row r="26" spans="3:9" x14ac:dyDescent="0.25">
      <c r="C26" s="1"/>
    </row>
    <row r="27" spans="3:9" x14ac:dyDescent="0.25">
      <c r="C27" s="3" t="s">
        <v>14</v>
      </c>
      <c r="D27" s="3"/>
      <c r="E27" s="3"/>
      <c r="F27" s="3"/>
      <c r="G27" s="3"/>
    </row>
    <row r="28" spans="3:9" x14ac:dyDescent="0.25">
      <c r="C28" s="3"/>
      <c r="D28" s="3" t="s">
        <v>15</v>
      </c>
      <c r="E28" s="3"/>
      <c r="F28" s="3"/>
      <c r="G28" s="3"/>
    </row>
    <row r="30" spans="3:9" x14ac:dyDescent="0.25">
      <c r="C30" s="4" t="s">
        <v>40</v>
      </c>
      <c r="E30" s="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79EA-5086-422A-9B22-36CD78606164}">
  <dimension ref="B2:H30"/>
  <sheetViews>
    <sheetView workbookViewId="0">
      <selection activeCell="B2" sqref="B2"/>
    </sheetView>
  </sheetViews>
  <sheetFormatPr defaultRowHeight="15" x14ac:dyDescent="0.25"/>
  <sheetData>
    <row r="2" spans="2:8" x14ac:dyDescent="0.25">
      <c r="B2" s="1" t="s">
        <v>47</v>
      </c>
    </row>
    <row r="3" spans="2:8" x14ac:dyDescent="0.25">
      <c r="B3" s="1"/>
    </row>
    <row r="4" spans="2:8" x14ac:dyDescent="0.25">
      <c r="C4" s="1" t="s">
        <v>0</v>
      </c>
    </row>
    <row r="5" spans="2:8" x14ac:dyDescent="0.25">
      <c r="C5" s="2"/>
    </row>
    <row r="6" spans="2:8" x14ac:dyDescent="0.25">
      <c r="C6" s="3" t="s">
        <v>1</v>
      </c>
      <c r="D6" s="3" t="s">
        <v>2</v>
      </c>
      <c r="E6" s="3"/>
      <c r="F6" s="3"/>
      <c r="G6" s="3"/>
      <c r="H6" s="3"/>
    </row>
    <row r="7" spans="2:8" x14ac:dyDescent="0.25">
      <c r="D7" s="3" t="s">
        <v>3</v>
      </c>
      <c r="E7" s="3"/>
      <c r="F7" s="3"/>
    </row>
    <row r="9" spans="2:8" x14ac:dyDescent="0.25">
      <c r="C9" s="4" t="s">
        <v>4</v>
      </c>
    </row>
    <row r="11" spans="2:8" x14ac:dyDescent="0.25">
      <c r="C11" s="1" t="s">
        <v>5</v>
      </c>
    </row>
    <row r="13" spans="2:8" x14ac:dyDescent="0.25">
      <c r="C13" s="3" t="s">
        <v>6</v>
      </c>
      <c r="D13" s="3" t="s">
        <v>7</v>
      </c>
      <c r="E13" s="3"/>
      <c r="F13" s="3"/>
      <c r="G13" s="3"/>
      <c r="H13" s="3"/>
    </row>
    <row r="14" spans="2:8" x14ac:dyDescent="0.25">
      <c r="C14" s="3"/>
      <c r="D14" s="3" t="s">
        <v>3</v>
      </c>
      <c r="E14" s="3"/>
      <c r="F14" s="3"/>
      <c r="G14" s="3"/>
      <c r="H14" s="3"/>
    </row>
    <row r="16" spans="2:8" x14ac:dyDescent="0.25">
      <c r="C16" s="4" t="s">
        <v>8</v>
      </c>
    </row>
    <row r="18" spans="3:8" x14ac:dyDescent="0.25">
      <c r="C18" s="1" t="s">
        <v>9</v>
      </c>
    </row>
    <row r="19" spans="3:8" x14ac:dyDescent="0.25">
      <c r="C19" s="1"/>
    </row>
    <row r="20" spans="3:8" x14ac:dyDescent="0.25">
      <c r="C20" s="3" t="s">
        <v>10</v>
      </c>
      <c r="D20" s="3" t="s">
        <v>11</v>
      </c>
      <c r="E20" s="3"/>
      <c r="F20" s="3"/>
      <c r="G20" s="3"/>
      <c r="H20" s="3"/>
    </row>
    <row r="21" spans="3:8" x14ac:dyDescent="0.25">
      <c r="C21" s="3"/>
      <c r="D21" s="3" t="s">
        <v>3</v>
      </c>
      <c r="E21" s="3"/>
      <c r="F21" s="3"/>
      <c r="G21" s="3"/>
      <c r="H21" s="3"/>
    </row>
    <row r="23" spans="3:8" x14ac:dyDescent="0.25">
      <c r="C23" s="4" t="s">
        <v>12</v>
      </c>
    </row>
    <row r="25" spans="3:8" x14ac:dyDescent="0.25">
      <c r="C25" s="1" t="s">
        <v>13</v>
      </c>
    </row>
    <row r="26" spans="3:8" x14ac:dyDescent="0.25">
      <c r="C26" s="1"/>
    </row>
    <row r="27" spans="3:8" x14ac:dyDescent="0.25">
      <c r="C27" s="3" t="s">
        <v>14</v>
      </c>
      <c r="D27" s="3"/>
      <c r="E27" s="3"/>
      <c r="F27" s="3"/>
      <c r="G27" s="3"/>
    </row>
    <row r="28" spans="3:8" x14ac:dyDescent="0.25">
      <c r="C28" s="3"/>
      <c r="D28" s="3" t="s">
        <v>15</v>
      </c>
      <c r="E28" s="3"/>
      <c r="F28" s="3"/>
      <c r="G28" s="3"/>
    </row>
    <row r="30" spans="3:8" x14ac:dyDescent="0.25">
      <c r="C30" s="4" t="s">
        <v>40</v>
      </c>
      <c r="E30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B967-49F5-4F32-9DB9-86FE96453817}">
  <dimension ref="B2:I30"/>
  <sheetViews>
    <sheetView workbookViewId="0">
      <selection activeCell="E30" sqref="E30"/>
    </sheetView>
  </sheetViews>
  <sheetFormatPr defaultRowHeight="15" x14ac:dyDescent="0.25"/>
  <sheetData>
    <row r="2" spans="2:9" x14ac:dyDescent="0.25">
      <c r="B2" s="1" t="s">
        <v>47</v>
      </c>
    </row>
    <row r="3" spans="2:9" x14ac:dyDescent="0.25">
      <c r="B3" s="1"/>
    </row>
    <row r="4" spans="2:9" x14ac:dyDescent="0.25">
      <c r="C4" s="1" t="s">
        <v>0</v>
      </c>
    </row>
    <row r="5" spans="2:9" x14ac:dyDescent="0.25">
      <c r="C5" s="2"/>
    </row>
    <row r="6" spans="2:9" x14ac:dyDescent="0.25">
      <c r="C6" s="3" t="s">
        <v>1</v>
      </c>
      <c r="D6" s="3" t="s">
        <v>2</v>
      </c>
      <c r="E6" s="3"/>
      <c r="F6" s="3"/>
      <c r="G6" s="3"/>
      <c r="H6" s="3"/>
      <c r="I6" s="3"/>
    </row>
    <row r="7" spans="2:9" x14ac:dyDescent="0.25">
      <c r="D7" s="3" t="s">
        <v>3</v>
      </c>
      <c r="E7" s="3"/>
      <c r="F7" s="3"/>
    </row>
    <row r="9" spans="2:9" x14ac:dyDescent="0.25">
      <c r="C9" s="4" t="s">
        <v>4</v>
      </c>
    </row>
    <row r="11" spans="2:9" x14ac:dyDescent="0.25">
      <c r="C11" s="1" t="s">
        <v>5</v>
      </c>
    </row>
    <row r="13" spans="2:9" x14ac:dyDescent="0.25">
      <c r="C13" s="3" t="s">
        <v>6</v>
      </c>
      <c r="D13" s="3" t="s">
        <v>7</v>
      </c>
      <c r="E13" s="3"/>
      <c r="F13" s="3"/>
      <c r="G13" s="3"/>
      <c r="H13" s="3"/>
      <c r="I13" s="3"/>
    </row>
    <row r="14" spans="2:9" x14ac:dyDescent="0.25">
      <c r="C14" s="3"/>
      <c r="D14" s="3" t="s">
        <v>3</v>
      </c>
      <c r="E14" s="3"/>
      <c r="F14" s="3"/>
      <c r="G14" s="3"/>
      <c r="H14" s="3"/>
      <c r="I14" s="3"/>
    </row>
    <row r="16" spans="2:9" x14ac:dyDescent="0.25">
      <c r="C16" s="4" t="s">
        <v>8</v>
      </c>
    </row>
    <row r="18" spans="3:9" x14ac:dyDescent="0.25">
      <c r="C18" s="1" t="s">
        <v>9</v>
      </c>
    </row>
    <row r="19" spans="3:9" x14ac:dyDescent="0.25">
      <c r="C19" s="1"/>
    </row>
    <row r="20" spans="3:9" x14ac:dyDescent="0.25">
      <c r="C20" s="3" t="s">
        <v>10</v>
      </c>
      <c r="D20" s="3" t="s">
        <v>11</v>
      </c>
      <c r="E20" s="3"/>
      <c r="F20" s="3"/>
      <c r="G20" s="3"/>
      <c r="H20" s="3"/>
      <c r="I20" s="3"/>
    </row>
    <row r="21" spans="3:9" x14ac:dyDescent="0.25">
      <c r="C21" s="3"/>
      <c r="D21" s="3" t="s">
        <v>31</v>
      </c>
      <c r="E21" s="3"/>
      <c r="F21" s="3"/>
      <c r="G21" s="3"/>
      <c r="H21" s="3"/>
      <c r="I21" s="3"/>
    </row>
    <row r="23" spans="3:9" x14ac:dyDescent="0.25">
      <c r="C23" s="4" t="s">
        <v>32</v>
      </c>
    </row>
    <row r="25" spans="3:9" x14ac:dyDescent="0.25">
      <c r="C25" s="1" t="s">
        <v>13</v>
      </c>
    </row>
    <row r="26" spans="3:9" x14ac:dyDescent="0.25">
      <c r="C26" s="1"/>
    </row>
    <row r="27" spans="3:9" x14ac:dyDescent="0.25">
      <c r="C27" s="3" t="s">
        <v>14</v>
      </c>
      <c r="D27" s="3"/>
      <c r="E27" s="3"/>
      <c r="F27" s="3"/>
      <c r="G27" s="3"/>
    </row>
    <row r="28" spans="3:9" x14ac:dyDescent="0.25">
      <c r="C28" s="3"/>
      <c r="D28" s="3" t="s">
        <v>33</v>
      </c>
      <c r="E28" s="3"/>
      <c r="F28" s="3"/>
      <c r="G28" s="3"/>
    </row>
    <row r="30" spans="3:9" x14ac:dyDescent="0.25">
      <c r="C30" s="4" t="s">
        <v>40</v>
      </c>
      <c r="E30" s="7">
        <v>0.99990000000000001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AFC0-6FB1-4C77-AE3B-655B9768E87D}">
  <dimension ref="B2:I30"/>
  <sheetViews>
    <sheetView workbookViewId="0">
      <selection activeCell="B2" sqref="B2"/>
    </sheetView>
  </sheetViews>
  <sheetFormatPr defaultRowHeight="15" x14ac:dyDescent="0.25"/>
  <sheetData>
    <row r="2" spans="2:9" x14ac:dyDescent="0.25">
      <c r="B2" s="1" t="s">
        <v>47</v>
      </c>
    </row>
    <row r="3" spans="2:9" x14ac:dyDescent="0.25">
      <c r="B3" s="1"/>
    </row>
    <row r="4" spans="2:9" x14ac:dyDescent="0.25">
      <c r="C4" s="1" t="s">
        <v>0</v>
      </c>
    </row>
    <row r="5" spans="2:9" x14ac:dyDescent="0.25">
      <c r="C5" s="2"/>
    </row>
    <row r="6" spans="2:9" x14ac:dyDescent="0.25">
      <c r="C6" s="3" t="s">
        <v>1</v>
      </c>
      <c r="D6" s="3" t="s">
        <v>2</v>
      </c>
      <c r="E6" s="3"/>
      <c r="F6" s="3"/>
      <c r="G6" s="3"/>
      <c r="H6" s="3"/>
      <c r="I6" s="3"/>
    </row>
    <row r="7" spans="2:9" x14ac:dyDescent="0.25">
      <c r="D7" s="3" t="s">
        <v>3</v>
      </c>
      <c r="E7" s="3"/>
      <c r="F7" s="3"/>
    </row>
    <row r="9" spans="2:9" x14ac:dyDescent="0.25">
      <c r="C9" s="4" t="s">
        <v>4</v>
      </c>
    </row>
    <row r="11" spans="2:9" x14ac:dyDescent="0.25">
      <c r="C11" s="1" t="s">
        <v>5</v>
      </c>
    </row>
    <row r="13" spans="2:9" x14ac:dyDescent="0.25">
      <c r="C13" s="3" t="s">
        <v>6</v>
      </c>
      <c r="D13" s="3" t="s">
        <v>7</v>
      </c>
      <c r="E13" s="3"/>
      <c r="F13" s="3"/>
      <c r="G13" s="3"/>
      <c r="H13" s="3"/>
      <c r="I13" s="3"/>
    </row>
    <row r="14" spans="2:9" x14ac:dyDescent="0.25">
      <c r="C14" s="3"/>
      <c r="D14" s="3" t="s">
        <v>3</v>
      </c>
      <c r="E14" s="3"/>
      <c r="F14" s="3"/>
      <c r="G14" s="3"/>
      <c r="H14" s="3"/>
      <c r="I14" s="3"/>
    </row>
    <row r="16" spans="2:9" x14ac:dyDescent="0.25">
      <c r="C16" s="4" t="s">
        <v>8</v>
      </c>
    </row>
    <row r="18" spans="3:9" x14ac:dyDescent="0.25">
      <c r="C18" s="1" t="s">
        <v>9</v>
      </c>
    </row>
    <row r="19" spans="3:9" x14ac:dyDescent="0.25">
      <c r="C19" s="1"/>
    </row>
    <row r="20" spans="3:9" x14ac:dyDescent="0.25">
      <c r="C20" s="3" t="s">
        <v>10</v>
      </c>
      <c r="D20" s="3" t="s">
        <v>11</v>
      </c>
      <c r="E20" s="3"/>
      <c r="F20" s="3"/>
      <c r="G20" s="3"/>
      <c r="H20" s="3"/>
      <c r="I20" s="3"/>
    </row>
    <row r="21" spans="3:9" x14ac:dyDescent="0.25">
      <c r="C21" s="3"/>
      <c r="D21" s="3" t="s">
        <v>3</v>
      </c>
      <c r="E21" s="3"/>
      <c r="F21" s="3"/>
      <c r="G21" s="3"/>
      <c r="H21" s="3"/>
      <c r="I21" s="3"/>
    </row>
    <row r="23" spans="3:9" x14ac:dyDescent="0.25">
      <c r="C23" s="4" t="s">
        <v>12</v>
      </c>
    </row>
    <row r="25" spans="3:9" x14ac:dyDescent="0.25">
      <c r="C25" s="1" t="s">
        <v>13</v>
      </c>
    </row>
    <row r="26" spans="3:9" x14ac:dyDescent="0.25">
      <c r="C26" s="1"/>
    </row>
    <row r="27" spans="3:9" x14ac:dyDescent="0.25">
      <c r="C27" s="3" t="s">
        <v>14</v>
      </c>
      <c r="D27" s="3"/>
      <c r="E27" s="3"/>
      <c r="F27" s="3"/>
      <c r="G27" s="3"/>
    </row>
    <row r="28" spans="3:9" x14ac:dyDescent="0.25">
      <c r="C28" s="3"/>
      <c r="D28" s="3" t="s">
        <v>15</v>
      </c>
      <c r="E28" s="3"/>
      <c r="F28" s="3"/>
      <c r="G28" s="3"/>
    </row>
    <row r="30" spans="3:9" x14ac:dyDescent="0.25">
      <c r="C30" s="4" t="s">
        <v>40</v>
      </c>
      <c r="E30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Kingston Normal Deletion</vt:lpstr>
      <vt:lpstr>Kingston Secure Erase</vt:lpstr>
      <vt:lpstr>Kingston TRIM</vt:lpstr>
      <vt:lpstr>PNY Normal Deletion</vt:lpstr>
      <vt:lpstr>PNY Secure Erase</vt:lpstr>
      <vt:lpstr>PNY TRIM</vt:lpstr>
      <vt:lpstr>Samsung Normal Deletion</vt:lpstr>
      <vt:lpstr>Samsung Secure Erase</vt:lpstr>
      <vt:lpstr>Samsung TRIM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Lewington</dc:creator>
  <cp:lastModifiedBy>Alex Lewington</cp:lastModifiedBy>
  <dcterms:created xsi:type="dcterms:W3CDTF">2026-08-02T18:16:21Z</dcterms:created>
  <dcterms:modified xsi:type="dcterms:W3CDTF">2026-08-06T18:15:05Z</dcterms:modified>
</cp:coreProperties>
</file>